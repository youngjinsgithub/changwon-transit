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정·출처" sheetId="1" state="visible" r:id="rId1"/>
    <sheet xmlns:r="http://schemas.openxmlformats.org/officeDocument/2006/relationships" name="시나리오 결과" sheetId="2" state="visible" r:id="rId2"/>
    <sheet xmlns:r="http://schemas.openxmlformats.org/officeDocument/2006/relationships" name="차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#,##0.0"/>
  </numFmts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  <color rgb="001F3864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  <xf numFmtId="3" fontId="0" fillId="0" borderId="0" pivotButton="0" quotePrefix="0" xfId="0"/>
    <xf numFmtId="165" fontId="0" fillId="3" borderId="0" pivotButton="0" quotePrefix="0" xfId="0"/>
    <xf numFmtId="3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연간 유류비 절감 (억원)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'차트'!B3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'차트'!$A$4:$A$7</f>
            </numRef>
          </cat>
          <val>
            <numRef>
              <f>'차트'!$B$4:$B$7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대중교통 전환율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억원/년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연간 CO₂ 순감축 (톤)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'차트'!C3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'차트'!$A$4:$A$7</f>
            </numRef>
          </cat>
          <val>
            <numRef>
              <f>'차트'!$C$4:$C$7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대중교통 전환율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톤/년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22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70" customWidth="1" min="4" max="4"/>
  </cols>
  <sheetData>
    <row r="1">
      <c r="A1" s="1" t="inlineStr">
        <is>
          <t>차트 입력 가정 및 공공통계 출처</t>
        </is>
      </c>
    </row>
    <row r="3">
      <c r="A3" s="2" t="inlineStr">
        <is>
          <t>항목</t>
        </is>
      </c>
      <c r="B3" s="2" t="inlineStr">
        <is>
          <t>값</t>
        </is>
      </c>
      <c r="C3" s="2" t="inlineStr">
        <is>
          <t>단위</t>
        </is>
      </c>
      <c r="D3" s="2" t="inlineStr">
        <is>
          <t>출처</t>
        </is>
      </c>
    </row>
    <row r="4">
      <c r="A4" t="inlineStr">
        <is>
          <t>창원시 자동차 등록대수</t>
        </is>
      </c>
      <c r="B4" t="n">
        <v>697261</v>
      </c>
      <c r="C4" t="inlineStr">
        <is>
          <t>대</t>
        </is>
      </c>
      <c r="D4" t="inlineStr">
        <is>
          <t>KOSIS DT_1YL20731 (국토교통부 자동차등록현황보고, 2025)</t>
        </is>
      </c>
    </row>
    <row r="5">
      <c r="A5" t="inlineStr">
        <is>
          <t>승용차 비중</t>
        </is>
      </c>
      <c r="B5" t="n">
        <v>0.8</v>
      </c>
      <c r="C5" t="inlineStr">
        <is>
          <t>비율</t>
        </is>
      </c>
      <c r="D5" t="inlineStr">
        <is>
          <t>국토교통부 자동차등록통계 — 전국 승용차 비중 약 80%</t>
        </is>
      </c>
    </row>
    <row r="6">
      <c r="A6" t="inlineStr">
        <is>
          <t>자가용 승용차 (계산)</t>
        </is>
      </c>
      <c r="B6" t="n">
        <v>557809</v>
      </c>
      <c r="C6" t="inlineStr">
        <is>
          <t>대</t>
        </is>
      </c>
      <c r="D6">
        <f> 등록대수 × 승용차 비중</f>
        <v/>
      </c>
    </row>
    <row r="7">
      <c r="A7" t="inlineStr">
        <is>
          <t>1대당 일평균 주행거리</t>
        </is>
      </c>
      <c r="B7" t="n">
        <v>33</v>
      </c>
      <c r="C7" t="inlineStr">
        <is>
          <t>km/일</t>
        </is>
      </c>
      <c r="D7" t="inlineStr">
        <is>
          <t>국토교통부 「2023 자동차 주행거리 통계」 비사업용 승용 평균 12,045 km/년</t>
        </is>
      </c>
    </row>
    <row r="8">
      <c r="A8" t="inlineStr">
        <is>
          <t>평균 연비</t>
        </is>
      </c>
      <c r="B8" t="n">
        <v>12.5</v>
      </c>
      <c r="C8" t="inlineStr">
        <is>
          <t>km/L</t>
        </is>
      </c>
      <c r="D8" t="inlineStr">
        <is>
          <t>에너지관리공단 자동차 평균 연비 (휘발유 승용차)</t>
        </is>
      </c>
    </row>
    <row r="9">
      <c r="A9" t="inlineStr">
        <is>
          <t>휘발유 단가</t>
        </is>
      </c>
      <c r="B9" t="n">
        <v>1700</v>
      </c>
      <c r="C9" t="inlineStr">
        <is>
          <t>원/L</t>
        </is>
      </c>
      <c r="D9" t="inlineStr">
        <is>
          <t>오피넷(opinet.co.kr) 전국 평균가 (2026.05 기준)</t>
        </is>
      </c>
    </row>
    <row r="10">
      <c r="A10" t="inlineStr">
        <is>
          <t>휘발유 CO₂ 배출계수</t>
        </is>
      </c>
      <c r="B10" t="n">
        <v>2.31</v>
      </c>
      <c r="C10" t="inlineStr">
        <is>
          <t>kgCO₂/L</t>
        </is>
      </c>
      <c r="D10" t="inlineStr">
        <is>
          <t>환경부 국가 온실가스 인벤토리 — 휘발유 연소 계수</t>
        </is>
      </c>
    </row>
    <row r="11">
      <c r="A11" t="inlineStr">
        <is>
          <t>시내버스 CO₂ 배출계수</t>
        </is>
      </c>
      <c r="B11" t="n">
        <v>0.0265</v>
      </c>
      <c r="C11" t="inlineStr">
        <is>
          <t>kgCO₂/인·km</t>
        </is>
      </c>
      <c r="D11" t="inlineStr">
        <is>
          <t>환경부 교통수단별 온실가스 배출량 — 시내버스 인km당 평균</t>
        </is>
      </c>
    </row>
    <row r="12">
      <c r="A12" t="inlineStr">
        <is>
          <t>연간 일수</t>
        </is>
      </c>
      <c r="B12" t="n">
        <v>365</v>
      </c>
      <c r="C12" t="inlineStr">
        <is>
          <t>일</t>
        </is>
      </c>
      <c r="D12" t="inlineStr">
        <is>
          <t>—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8" customWidth="1" min="3" max="3"/>
    <col width="22" customWidth="1" min="4" max="4"/>
    <col width="22" customWidth="1" min="5" max="5"/>
    <col width="20" customWidth="1" min="6" max="6"/>
    <col width="28" customWidth="1" min="7" max="7"/>
  </cols>
  <sheetData>
    <row r="1">
      <c r="A1" s="1" t="inlineStr">
        <is>
          <t>대중교통 전환율별 연간 절감 효과</t>
        </is>
      </c>
    </row>
    <row r="3" ht="32" customHeight="1">
      <c r="A3" s="3" t="inlineStr">
        <is>
          <t>전환율 (%)</t>
        </is>
      </c>
      <c r="B3" s="3" t="inlineStr">
        <is>
          <t>자가용 절감 통행 (km/년)</t>
        </is>
      </c>
      <c r="C3" s="3" t="inlineStr">
        <is>
          <t>휘발유 절감 (L/년)</t>
        </is>
      </c>
      <c r="D3" s="3" t="inlineStr">
        <is>
          <t>유류비 절감 (원/년)</t>
        </is>
      </c>
      <c r="E3" s="3" t="inlineStr">
        <is>
          <t>유류비 절감 (억원/년)</t>
        </is>
      </c>
      <c r="F3" s="3" t="inlineStr">
        <is>
          <t>CO₂ 순감축 (톤/년)</t>
        </is>
      </c>
      <c r="G3" s="3" t="inlineStr">
        <is>
          <t>산정식 비고</t>
        </is>
      </c>
    </row>
    <row r="4">
      <c r="A4" s="4" t="n">
        <v>5</v>
      </c>
      <c r="B4" s="5" t="n">
        <v>335940470.2500001</v>
      </c>
      <c r="C4" s="5" t="n">
        <v>26875237.62</v>
      </c>
      <c r="D4" s="5" t="n">
        <v>45687903954</v>
      </c>
      <c r="E4" s="6" t="n">
        <v>456.87903954</v>
      </c>
      <c r="F4" s="7" t="n">
        <v>53179.376440575</v>
      </c>
      <c r="G4" t="inlineStr">
        <is>
          <t>자가용 → 시내버스 전환 5%</t>
        </is>
      </c>
    </row>
    <row r="5">
      <c r="A5" s="4" t="n">
        <v>10</v>
      </c>
      <c r="B5" s="5" t="n">
        <v>671880940.5000001</v>
      </c>
      <c r="C5" s="5" t="n">
        <v>53750475.24</v>
      </c>
      <c r="D5" s="5" t="n">
        <v>91375807908</v>
      </c>
      <c r="E5" s="6" t="n">
        <v>913.75807908</v>
      </c>
      <c r="F5" s="7" t="n">
        <v>106358.75288115</v>
      </c>
      <c r="G5" t="inlineStr">
        <is>
          <t>자가용 → 시내버스 전환 10%</t>
        </is>
      </c>
    </row>
    <row r="6">
      <c r="A6" s="4" t="n">
        <v>15</v>
      </c>
      <c r="B6" s="5" t="n">
        <v>1007821410.75</v>
      </c>
      <c r="C6" s="5" t="n">
        <v>80625712.85999998</v>
      </c>
      <c r="D6" s="5" t="n">
        <v>137063711862</v>
      </c>
      <c r="E6" s="6" t="n">
        <v>1370.63711862</v>
      </c>
      <c r="F6" s="7" t="n">
        <v>159538.129321725</v>
      </c>
      <c r="G6" t="inlineStr">
        <is>
          <t>자가용 → 시내버스 전환 15%</t>
        </is>
      </c>
    </row>
    <row r="7">
      <c r="A7" s="4" t="n">
        <v>20</v>
      </c>
      <c r="B7" s="5" t="n">
        <v>1343761881</v>
      </c>
      <c r="C7" s="5" t="n">
        <v>107500950.48</v>
      </c>
      <c r="D7" s="5" t="n">
        <v>182751615816</v>
      </c>
      <c r="E7" s="6" t="n">
        <v>1827.51615816</v>
      </c>
      <c r="F7" s="7" t="n">
        <v>212717.5057623</v>
      </c>
      <c r="G7" t="inlineStr">
        <is>
          <t>자가용 → 시내버스 전환 20%</t>
        </is>
      </c>
    </row>
    <row r="10">
      <c r="A10" s="8" t="inlineStr">
        <is>
          <t>산식</t>
        </is>
      </c>
    </row>
    <row r="11">
      <c r="A11" t="inlineStr">
        <is>
          <t>자가용 절감 통행 = 자가용 등록대수 × 1대 일평균 주행 × 전환율 × 365</t>
        </is>
      </c>
    </row>
    <row r="12">
      <c r="A12" t="inlineStr">
        <is>
          <t>휘발유 절감 = 자가용 절감 통행 ÷ 평균 연비(12.5 km/L)</t>
        </is>
      </c>
    </row>
    <row r="13">
      <c r="A13" t="inlineStr">
        <is>
          <t>유류비 절감 = 휘발유 절감 × 휘발유 단가(1,700 원/L)</t>
        </is>
      </c>
    </row>
    <row r="14">
      <c r="A14" t="inlineStr">
        <is>
          <t>CO₂ 순감축 = 자가용 절감 통행 × (휘발유 CO₂/연비 − 시내버스 CO₂)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</cols>
  <sheetData>
    <row r="1">
      <c r="A1" s="1" t="inlineStr">
        <is>
          <t>전환율 시나리오별 절감 효과</t>
        </is>
      </c>
    </row>
    <row r="3">
      <c r="A3" s="2" t="inlineStr">
        <is>
          <t>전환율</t>
        </is>
      </c>
      <c r="B3" s="2" t="inlineStr">
        <is>
          <t>유류비 절감 (억원/년)</t>
        </is>
      </c>
      <c r="C3" s="2" t="inlineStr">
        <is>
          <t>CO₂ 순감축 (톤/년)</t>
        </is>
      </c>
    </row>
    <row r="4">
      <c r="A4" t="inlineStr">
        <is>
          <t>5%</t>
        </is>
      </c>
      <c r="B4" t="n">
        <v>456.9</v>
      </c>
      <c r="C4" t="n">
        <v>53179</v>
      </c>
    </row>
    <row r="5">
      <c r="A5" t="inlineStr">
        <is>
          <t>10%</t>
        </is>
      </c>
      <c r="B5" t="n">
        <v>913.8</v>
      </c>
      <c r="C5" t="n">
        <v>106359</v>
      </c>
    </row>
    <row r="6">
      <c r="A6" t="inlineStr">
        <is>
          <t>15%</t>
        </is>
      </c>
      <c r="B6" t="n">
        <v>1370.6</v>
      </c>
      <c r="C6" t="n">
        <v>159538</v>
      </c>
    </row>
    <row r="7">
      <c r="A7" t="inlineStr">
        <is>
          <t>20%</t>
        </is>
      </c>
      <c r="B7" t="n">
        <v>1827.5</v>
      </c>
      <c r="C7" t="n">
        <v>212718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2026-06-03T14:28:52Z</dcterms:created>
  <dcterms:modified xmlns:dcterms="http://purl.org/dc/terms/" xmlns:xsi="http://www.w3.org/2001/XMLSchema-instance" xsi:type="dcterms:W3CDTF">2026-06-03T14:28:52Z</dcterms:modified>
</cp:coreProperties>
</file>